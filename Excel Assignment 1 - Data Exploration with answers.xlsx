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Dataset" sheetId="1" r:id="rId1"/>
  </sheets>
  <calcPr calcId="162913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2" i="1"/>
  <c r="L56" i="1"/>
  <c r="L54" i="1"/>
  <c r="L52" i="1"/>
  <c r="L50" i="1"/>
  <c r="L48" i="1"/>
  <c r="L46" i="1"/>
  <c r="L41" i="1"/>
  <c r="L38" i="1"/>
  <c r="L34" i="1"/>
  <c r="H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H4" i="1"/>
  <c r="L31" i="1"/>
  <c r="L23" i="1" l="1"/>
  <c r="L19" i="1"/>
  <c r="L14" i="1"/>
  <c r="L9" i="1"/>
  <c r="L5" i="1"/>
  <c r="L13" i="1" s="1"/>
</calcChain>
</file>

<file path=xl/sharedStrings.xml><?xml version="1.0" encoding="utf-8"?>
<sst xmlns="http://schemas.openxmlformats.org/spreadsheetml/2006/main" count="202" uniqueCount="153">
  <si>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</si>
  <si>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</si>
  <si>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</si>
  <si>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</si>
  <si>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</si>
  <si>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</si>
  <si>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</si>
  <si>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</si>
  <si>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</si>
  <si>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</si>
  <si>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</si>
  <si>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</si>
  <si>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</si>
  <si>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</si>
  <si>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</si>
  <si>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</si>
  <si>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</si>
  <si>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</si>
  <si>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</si>
  <si>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</si>
  <si>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</si>
  <si>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</si>
  <si>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</si>
  <si>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</si>
  <si>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</si>
  <si>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</si>
  <si>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</si>
  <si>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</si>
  <si>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</si>
  <si>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</si>
  <si>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</si>
  <si>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</si>
  <si>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</si>
  <si>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</si>
  <si>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</si>
  <si>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</si>
  <si>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</si>
  <si>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</si>
  <si>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</si>
  <si>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</si>
  <si>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</si>
  <si>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</si>
  <si>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</si>
  <si>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</si>
  <si>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</si>
  <si>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</si>
  <si>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</si>
  <si>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</si>
  <si>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</si>
  <si>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</si>
  <si>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</si>
  <si>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</si>
  <si>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</si>
  <si>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</si>
  <si>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</si>
  <si>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</si>
  <si>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</si>
  <si>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</si>
  <si>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</si>
  <si>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</si>
  <si>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</si>
  <si>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</si>
  <si>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</si>
  <si>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</si>
  <si>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</si>
  <si>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</si>
  <si>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</si>
  <si>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</si>
  <si>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</si>
  <si>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</si>
  <si>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</si>
  <si>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</si>
  <si>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</si>
  <si>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</si>
  <si>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</si>
  <si>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</si>
  <si>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</si>
  <si>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</si>
  <si>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</si>
  <si>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</si>
  <si>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</si>
  <si>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</si>
  <si>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</si>
  <si>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</si>
  <si>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</si>
  <si>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</si>
  <si>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</si>
  <si>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</si>
  <si>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</si>
  <si>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</si>
  <si>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</si>
  <si>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</si>
  <si>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</si>
  <si>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Basic Data Exploration</t>
  </si>
  <si>
    <t>SUM()</t>
  </si>
  <si>
    <t>COUNT()</t>
  </si>
  <si>
    <t>AVERAGE()</t>
  </si>
  <si>
    <t>sum(D2:D35)</t>
  </si>
  <si>
    <t>counta(B2:B35)</t>
  </si>
  <si>
    <t>Formulas I used</t>
  </si>
  <si>
    <t>Calculate the total price of all products in the dataset.</t>
  </si>
  <si>
    <t>Determine how many products exist in the dataset.</t>
  </si>
  <si>
    <t>Calculate the average price of the products.</t>
  </si>
  <si>
    <t>Manual:Sum/Count</t>
  </si>
  <si>
    <t>Average(D2:D35)</t>
  </si>
  <si>
    <t>1. Sum, Count, and Average</t>
  </si>
  <si>
    <t>2. Minimum and Maximum Values</t>
  </si>
  <si>
    <t>Identify the minimum price among all products.</t>
  </si>
  <si>
    <t>MIN()</t>
  </si>
  <si>
    <t>Min(D2:D35)</t>
  </si>
  <si>
    <t>Identify the maximum price among all products.</t>
  </si>
  <si>
    <t>MAX()</t>
  </si>
  <si>
    <t>Max(D2:D35)</t>
  </si>
  <si>
    <t>3. Logical Function – IF</t>
  </si>
  <si>
    <t>Create a new column named Price Range.</t>
  </si>
  <si>
    <t>Price Range</t>
  </si>
  <si>
    <t>Created column E2:E35</t>
  </si>
  <si>
    <t>Use the IF function to categorize products based on their price:</t>
  </si>
  <si>
    <t>If Price ≥ $500 → classify as High Price</t>
  </si>
  <si>
    <t>If Price &lt; $500 → classify as Standard Price</t>
  </si>
  <si>
    <t>if(D2&gt;=500,"High Price")</t>
  </si>
  <si>
    <t>if(D2&lt;500,"Standard Price")</t>
  </si>
  <si>
    <t>4. Conditional Functions – SUMIF and COUNTIF</t>
  </si>
  <si>
    <t>Use the SUMIF function to calculate the total price of products in the Electronics category.</t>
  </si>
  <si>
    <t>sumif(G2:G35,"Electronics",D2:D35)</t>
  </si>
  <si>
    <t>Use the COUNTIF function to determine the number of products with a price less than $100.</t>
  </si>
  <si>
    <t>countif(D2:D35,"&lt;100")</t>
  </si>
  <si>
    <t>5. Text Formatting – LEFT, RIGHT, MID</t>
  </si>
  <si>
    <t>Use text functions to extract information from the Product ID column.</t>
  </si>
  <si>
    <t>LEFT()</t>
  </si>
  <si>
    <t>RIGHT()</t>
  </si>
  <si>
    <t>MID()</t>
  </si>
  <si>
    <t>UPPER()</t>
  </si>
  <si>
    <t>LOWER()</t>
  </si>
  <si>
    <t>PROPER()</t>
  </si>
  <si>
    <t>LEFT(A2,2)</t>
  </si>
  <si>
    <t>RIGHT(A2,2)</t>
  </si>
  <si>
    <t>MID(A2,4,3)</t>
  </si>
  <si>
    <t>UPPER(A2)</t>
  </si>
  <si>
    <t>LOWER(A2)</t>
  </si>
  <si>
    <t>PROPER(A2)</t>
  </si>
  <si>
    <t>Day</t>
  </si>
  <si>
    <t>Country Code</t>
  </si>
  <si>
    <t>Create a new column named Day with the first 2 characters of each</t>
  </si>
  <si>
    <t>'Product ID' using the LEFT function.</t>
  </si>
  <si>
    <t>Column NO: B</t>
  </si>
  <si>
    <t>characters from the 'Product ID' column using the RIGHT function.</t>
  </si>
  <si>
    <t xml:space="preserve">Create a new column named Country Code by extracting the last 2 </t>
  </si>
  <si>
    <t>Column NO: C</t>
  </si>
  <si>
    <t>Create a new column named Month by extracting the 4th to 6th</t>
  </si>
  <si>
    <t>characters from the 'Product ID' column using the MID function.</t>
  </si>
  <si>
    <t>Month</t>
  </si>
  <si>
    <t>Column NO: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</si>
</sst>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1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 Unicode MS"/>
    </font>
    <font>
      <b/>
      <sz val="10"/>
      <color rgb="FF000000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E0F7F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6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 applyAlignment="1"/>
    <xf numFmtId="0" fontId="5" fillId="2" borderId="0" xfId="0" applyFont="1" applyFill="1" applyAlignment="1">
      <alignment horizontal="center"/>
    </xf>
    <xf numFmtId="0" fontId="3" fillId="0" borderId="3" xfId="0" applyFont="1" applyBorder="1" applyAlignment="1"/>
    <xf numFmtId="0" fontId="0" fillId="0" borderId="4" xfId="0" applyFont="1" applyBorder="1" applyAlignme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5" xfId="0" applyFont="1" applyBorder="1" applyAlignment="1"/>
    <xf numFmtId="0" fontId="4" fillId="0" borderId="5" xfId="0" applyFont="1" applyBorder="1" applyAlignment="1"/>
    <xf numFmtId="0" fontId="0" fillId="0" borderId="6" xfId="0" applyFont="1" applyBorder="1" applyAlignme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0" fillId="0" borderId="3" xfId="0" applyFont="1" applyBorder="1" applyAlignment="1"/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44" fontId="0" fillId="0" borderId="5" xfId="1" applyFont="1" applyBorder="1" applyAlignment="1"/>
    <xf numFmtId="44" fontId="0" fillId="0" borderId="3" xfId="1" applyFont="1" applyBorder="1" applyAlignment="1"/>
    <xf numFmtId="44" fontId="4" fillId="0" borderId="5" xfId="1" applyFont="1" applyBorder="1" applyAlignment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" fontId="0" fillId="0" borderId="5" xfId="1" applyNumberFormat="1" applyFont="1" applyBorder="1" applyAlignment="1"/>
    <xf numFmtId="0" fontId="9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4" fillId="0" borderId="3" xfId="0" applyFont="1" applyBorder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4" fillId="6" borderId="4" xfId="0" applyFont="1" applyFill="1" applyBorder="1" applyAlignment="1"/>
    <xf numFmtId="0" fontId="4" fillId="6" borderId="6" xfId="0" applyFont="1" applyFill="1" applyBorder="1" applyAlignment="1"/>
    <xf numFmtId="0" fontId="2" fillId="0" borderId="8" xfId="0" applyFont="1" applyBorder="1"/>
    <xf numFmtId="0" fontId="4" fillId="0" borderId="8" xfId="0" applyFont="1" applyBorder="1" applyAlignment="1"/>
    <xf numFmtId="0" fontId="0" fillId="0" borderId="8" xfId="0" applyFont="1" applyBorder="1" applyAlignment="1"/>
    <xf numFmtId="0" fontId="2" fillId="3" borderId="8" xfId="0" applyFont="1" applyFill="1" applyBorder="1"/>
    <xf numFmtId="0" fontId="2" fillId="7" borderId="8" xfId="0" applyFont="1" applyFill="1" applyBorder="1"/>
    <xf numFmtId="0" fontId="2" fillId="8" borderId="8" xfId="0" applyFont="1" applyFill="1" applyBorder="1"/>
    <xf numFmtId="0" fontId="4" fillId="8" borderId="8" xfId="0" applyFont="1" applyFill="1" applyBorder="1" applyAlignment="1"/>
    <xf numFmtId="0" fontId="2" fillId="0" borderId="9" xfId="0" applyFont="1" applyBorder="1"/>
    <xf numFmtId="0" fontId="2" fillId="3" borderId="9" xfId="0" applyFont="1" applyFill="1" applyBorder="1"/>
    <xf numFmtId="0" fontId="2" fillId="0" borderId="10" xfId="0" applyFont="1" applyBorder="1"/>
    <xf numFmtId="0" fontId="2" fillId="3" borderId="10" xfId="0" applyFont="1" applyFill="1" applyBorder="1"/>
    <xf numFmtId="0" fontId="1" fillId="2" borderId="6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2" xfId="0" applyFont="1" applyFill="1" applyBorder="1"/>
    <xf numFmtId="0" fontId="2" fillId="3" borderId="1" xfId="0" applyFont="1" applyFill="1" applyBorder="1"/>
    <xf numFmtId="0" fontId="2" fillId="8" borderId="12" xfId="0" applyFont="1" applyFill="1" applyBorder="1"/>
    <xf numFmtId="0" fontId="4" fillId="8" borderId="12" xfId="0" applyFont="1" applyFill="1" applyBorder="1" applyAlignment="1"/>
    <xf numFmtId="0" fontId="0" fillId="8" borderId="8" xfId="0" applyFont="1" applyFill="1" applyBorder="1" applyAlignment="1"/>
    <xf numFmtId="0" fontId="0" fillId="8" borderId="12" xfId="0" applyFont="1" applyFill="1" applyBorder="1" applyAlignment="1"/>
    <xf numFmtId="0" fontId="4" fillId="9" borderId="6" xfId="0" applyFont="1" applyFill="1" applyBorder="1" applyAlignment="1"/>
    <xf numFmtId="164" fontId="4" fillId="9" borderId="4" xfId="0" applyNumberFormat="1" applyFont="1" applyFill="1" applyBorder="1" applyAlignment="1"/>
    <xf numFmtId="0" fontId="0" fillId="9" borderId="6" xfId="0" applyFont="1" applyFill="1" applyBorder="1" applyAlignment="1"/>
    <xf numFmtId="0" fontId="0" fillId="9" borderId="6" xfId="0" applyFont="1" applyFill="1" applyBorder="1" applyAlignment="1">
      <alignment vertical="center" wrapText="1"/>
    </xf>
    <xf numFmtId="0" fontId="0" fillId="9" borderId="4" xfId="0" applyFont="1" applyFill="1" applyBorder="1" applyAlignment="1"/>
  </cellXfs>
  <cellStyles count="2">
    <cellStyle name="Currency" xfId="1" builtinId="4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J35" totalsRowShown="0" headerRowDxfId="0" dataDxfId="1" headerRowBorderDxfId="13" tableBorderDxfId="14" totalsRowBorderDxfId="12">
  <tableColumns count="10">
    <tableColumn id="1" name="Product ID" dataDxfId="11"/>
    <tableColumn id="2" name="Day" dataDxfId="10">
      <calculatedColumnFormula>LEFT(A2,2)</calculatedColumnFormula>
    </tableColumn>
    <tableColumn id="3" name="Country Code" dataDxfId="9">
      <calculatedColumnFormula>RIGHT(A2,2)</calculatedColumnFormula>
    </tableColumn>
    <tableColumn id="4" name="Month" dataDxfId="8">
      <calculatedColumnFormula>MID(A2,4,3)</calculatedColumnFormula>
    </tableColumn>
    <tableColumn id="5" name="Product Name" dataDxfId="7"/>
    <tableColumn id="6" name="Brand Name" dataDxfId="6"/>
    <tableColumn id="7" name="Price ($)" dataDxfId="5"/>
    <tableColumn id="8" name="Price Range" dataDxfId="4">
      <calculatedColumnFormula>IF(G2&gt;=500,"High Price","Standard Price")</calculatedColumnFormula>
    </tableColumn>
    <tableColumn id="9" name="Quantity" dataDxfId="3"/>
    <tableColumn id="10" name="Category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tabSelected="1" workbookViewId="0">
      <selection activeCell="M68" sqref="M68"/>
    </sheetView>
  </sheetViews>
  <sheetFormatPr defaultColWidth="12.5703125" defaultRowHeight="15" customHeight="1"/>
  <cols>
    <col min="1" max="1" width="12.5703125" customWidth="1"/>
    <col min="2" max="2" width="6.5703125" customWidth="1"/>
    <col min="3" max="3" width="13.7109375" customWidth="1"/>
    <col min="4" max="4" width="8.7109375" customWidth="1"/>
    <col min="5" max="5" width="14" customWidth="1"/>
    <col min="6" max="6" width="13.42578125" customWidth="1"/>
    <col min="7" max="7" width="10.5703125" customWidth="1"/>
    <col min="8" max="8" width="14.28515625" customWidth="1"/>
    <col min="9" max="9" width="8.42578125" customWidth="1"/>
    <col min="10" max="10" width="11.28515625" customWidth="1"/>
    <col min="11" max="11" width="2.140625" customWidth="1"/>
    <col min="12" max="12" width="42.7109375" customWidth="1"/>
    <col min="13" max="13" width="25.7109375" customWidth="1"/>
  </cols>
  <sheetData>
    <row r="1" spans="1:13" ht="15.75" customHeight="1">
      <c r="A1" s="49" t="s">
        <v>0</v>
      </c>
      <c r="B1" s="50" t="s">
        <v>141</v>
      </c>
      <c r="C1" s="50" t="s">
        <v>142</v>
      </c>
      <c r="D1" s="50" t="s">
        <v>151</v>
      </c>
      <c r="E1" s="51" t="s">
        <v>1</v>
      </c>
      <c r="F1" s="51" t="s">
        <v>2</v>
      </c>
      <c r="G1" s="51" t="s">
        <v>3</v>
      </c>
      <c r="H1" s="50" t="s">
        <v>115</v>
      </c>
      <c r="I1" s="51" t="s">
        <v>4</v>
      </c>
      <c r="J1" s="52" t="s">
        <v>5</v>
      </c>
      <c r="K1" s="2"/>
      <c r="L1" s="1" t="s">
        <v>93</v>
      </c>
      <c r="M1" s="5" t="s">
        <v>99</v>
      </c>
    </row>
    <row r="2" spans="1:13" ht="15.75" customHeight="1">
      <c r="A2" s="45" t="s">
        <v>6</v>
      </c>
      <c r="B2" s="38" t="str">
        <f>LEFT(A2,2)</f>
        <v>28</v>
      </c>
      <c r="C2" s="38" t="str">
        <f>RIGHT(A2,2)</f>
        <v>US</v>
      </c>
      <c r="D2" s="39" t="str">
        <f>MID(A2,4,3)</f>
        <v>JAN</v>
      </c>
      <c r="E2" s="38" t="s">
        <v>7</v>
      </c>
      <c r="F2" s="38" t="s">
        <v>8</v>
      </c>
      <c r="G2" s="38">
        <v>1000</v>
      </c>
      <c r="H2" s="40" t="str">
        <f>IF(G2&gt;=500,"High Price","Standard Price")</f>
        <v>High Price</v>
      </c>
      <c r="I2" s="38">
        <v>30</v>
      </c>
      <c r="J2" s="47" t="s">
        <v>9</v>
      </c>
      <c r="K2" s="3"/>
      <c r="L2" s="19" t="s">
        <v>105</v>
      </c>
      <c r="M2" s="19"/>
    </row>
    <row r="3" spans="1:13" ht="15.75" customHeight="1">
      <c r="A3" s="46" t="s">
        <v>10</v>
      </c>
      <c r="B3" s="43" t="str">
        <f t="shared" ref="B3:B35" si="0">LEFT(A3,2)</f>
        <v>15</v>
      </c>
      <c r="C3" s="43" t="str">
        <f t="shared" ref="C3:C35" si="1">RIGHT(A3,2)</f>
        <v>US</v>
      </c>
      <c r="D3" s="44" t="str">
        <f t="shared" ref="D3:D35" si="2">MID(A3,4,3)</f>
        <v>FEB</v>
      </c>
      <c r="E3" s="41" t="s">
        <v>11</v>
      </c>
      <c r="F3" s="41" t="s">
        <v>12</v>
      </c>
      <c r="G3" s="41">
        <v>80</v>
      </c>
      <c r="H3" s="58" t="str">
        <f t="shared" ref="H3:H35" si="3">IF(G3&gt;=500,"High Price","Standard Price")</f>
        <v>Standard Price</v>
      </c>
      <c r="I3" s="41">
        <v>15</v>
      </c>
      <c r="J3" s="48" t="s">
        <v>13</v>
      </c>
      <c r="K3" s="3"/>
      <c r="L3" s="13" t="s">
        <v>100</v>
      </c>
      <c r="M3" s="14"/>
    </row>
    <row r="4" spans="1:13" ht="15.75" customHeight="1">
      <c r="A4" s="45" t="s">
        <v>14</v>
      </c>
      <c r="B4" s="38" t="str">
        <f t="shared" si="0"/>
        <v>03</v>
      </c>
      <c r="C4" s="38" t="str">
        <f t="shared" si="1"/>
        <v>US</v>
      </c>
      <c r="D4" s="39" t="str">
        <f t="shared" si="2"/>
        <v>MAR</v>
      </c>
      <c r="E4" s="38" t="s">
        <v>15</v>
      </c>
      <c r="F4" s="38" t="s">
        <v>16</v>
      </c>
      <c r="G4" s="38">
        <v>130</v>
      </c>
      <c r="H4" s="40" t="str">
        <f t="shared" si="3"/>
        <v>Standard Price</v>
      </c>
      <c r="I4" s="38">
        <v>40</v>
      </c>
      <c r="J4" s="47" t="s">
        <v>17</v>
      </c>
      <c r="K4" s="3"/>
      <c r="L4" s="6" t="s">
        <v>94</v>
      </c>
      <c r="M4" s="7"/>
    </row>
    <row r="5" spans="1:13" ht="15.75" customHeight="1">
      <c r="A5" s="46" t="s">
        <v>18</v>
      </c>
      <c r="B5" s="43" t="str">
        <f t="shared" si="0"/>
        <v>11</v>
      </c>
      <c r="C5" s="43" t="str">
        <f t="shared" si="1"/>
        <v>US</v>
      </c>
      <c r="D5" s="44" t="str">
        <f t="shared" si="2"/>
        <v>APR</v>
      </c>
      <c r="E5" s="41" t="s">
        <v>19</v>
      </c>
      <c r="F5" s="41" t="s">
        <v>20</v>
      </c>
      <c r="G5" s="41">
        <v>900</v>
      </c>
      <c r="H5" s="58" t="str">
        <f t="shared" si="3"/>
        <v>High Price</v>
      </c>
      <c r="I5" s="41">
        <v>25</v>
      </c>
      <c r="J5" s="48" t="s">
        <v>9</v>
      </c>
      <c r="K5" s="3"/>
      <c r="L5" s="25">
        <f>SUM(G2:G35)</f>
        <v>10100</v>
      </c>
      <c r="M5" s="60" t="s">
        <v>97</v>
      </c>
    </row>
    <row r="6" spans="1:13" ht="15.75" customHeight="1">
      <c r="A6" s="45" t="s">
        <v>21</v>
      </c>
      <c r="B6" s="38" t="str">
        <f t="shared" si="0"/>
        <v>22</v>
      </c>
      <c r="C6" s="38" t="str">
        <f t="shared" si="1"/>
        <v>US</v>
      </c>
      <c r="D6" s="39" t="str">
        <f t="shared" si="2"/>
        <v>MAY</v>
      </c>
      <c r="E6" s="38" t="s">
        <v>22</v>
      </c>
      <c r="F6" s="38" t="s">
        <v>23</v>
      </c>
      <c r="G6" s="38">
        <v>70</v>
      </c>
      <c r="H6" s="40" t="str">
        <f t="shared" si="3"/>
        <v>Standard Price</v>
      </c>
      <c r="I6" s="38">
        <v>20</v>
      </c>
      <c r="J6" s="47" t="s">
        <v>24</v>
      </c>
      <c r="K6" s="3"/>
    </row>
    <row r="7" spans="1:13" ht="15.75" customHeight="1">
      <c r="A7" s="46" t="s">
        <v>25</v>
      </c>
      <c r="B7" s="43" t="str">
        <f t="shared" si="0"/>
        <v>07</v>
      </c>
      <c r="C7" s="43" t="str">
        <f t="shared" si="1"/>
        <v>UK</v>
      </c>
      <c r="D7" s="44" t="str">
        <f t="shared" si="2"/>
        <v>JUN</v>
      </c>
      <c r="E7" s="42" t="s">
        <v>26</v>
      </c>
      <c r="F7" s="41" t="s">
        <v>27</v>
      </c>
      <c r="G7" s="41">
        <v>200</v>
      </c>
      <c r="H7" s="58" t="str">
        <f t="shared" si="3"/>
        <v>Standard Price</v>
      </c>
      <c r="I7" s="41">
        <v>45</v>
      </c>
      <c r="J7" s="48" t="s">
        <v>9</v>
      </c>
      <c r="K7" s="3"/>
      <c r="L7" s="8" t="s">
        <v>101</v>
      </c>
      <c r="M7" s="9"/>
    </row>
    <row r="8" spans="1:13" ht="15.75" customHeight="1">
      <c r="A8" s="45" t="s">
        <v>28</v>
      </c>
      <c r="B8" s="38" t="str">
        <f t="shared" si="0"/>
        <v>19</v>
      </c>
      <c r="C8" s="38" t="str">
        <f t="shared" si="1"/>
        <v>UK</v>
      </c>
      <c r="D8" s="39" t="str">
        <f t="shared" si="2"/>
        <v>JUL</v>
      </c>
      <c r="E8" s="38" t="s">
        <v>29</v>
      </c>
      <c r="F8" s="38" t="s">
        <v>30</v>
      </c>
      <c r="G8" s="38">
        <v>30</v>
      </c>
      <c r="H8" s="40" t="str">
        <f t="shared" si="3"/>
        <v>Standard Price</v>
      </c>
      <c r="I8" s="38">
        <v>5</v>
      </c>
      <c r="J8" s="47" t="s">
        <v>13</v>
      </c>
      <c r="K8" s="3"/>
      <c r="L8" s="6" t="s">
        <v>95</v>
      </c>
      <c r="M8" s="7"/>
    </row>
    <row r="9" spans="1:13" ht="15.75" customHeight="1">
      <c r="A9" s="46" t="s">
        <v>31</v>
      </c>
      <c r="B9" s="43" t="str">
        <f t="shared" si="0"/>
        <v>23</v>
      </c>
      <c r="C9" s="43" t="str">
        <f t="shared" si="1"/>
        <v>UK</v>
      </c>
      <c r="D9" s="44" t="str">
        <f t="shared" si="2"/>
        <v>AUG</v>
      </c>
      <c r="E9" s="42" t="s">
        <v>32</v>
      </c>
      <c r="F9" s="41" t="s">
        <v>33</v>
      </c>
      <c r="G9" s="41">
        <v>90</v>
      </c>
      <c r="H9" s="58" t="str">
        <f t="shared" si="3"/>
        <v>Standard Price</v>
      </c>
      <c r="I9" s="41">
        <v>35</v>
      </c>
      <c r="J9" s="48" t="s">
        <v>17</v>
      </c>
      <c r="K9" s="3"/>
      <c r="L9" s="10">
        <f>COUNTA(E2:E35)</f>
        <v>34</v>
      </c>
      <c r="M9" s="60" t="s">
        <v>98</v>
      </c>
    </row>
    <row r="10" spans="1:13" ht="15.75" customHeight="1">
      <c r="A10" s="45" t="s">
        <v>34</v>
      </c>
      <c r="B10" s="38" t="str">
        <f t="shared" si="0"/>
        <v>05</v>
      </c>
      <c r="C10" s="38" t="str">
        <f t="shared" si="1"/>
        <v>UK</v>
      </c>
      <c r="D10" s="39" t="str">
        <f t="shared" si="2"/>
        <v>SEP</v>
      </c>
      <c r="E10" s="38" t="s">
        <v>35</v>
      </c>
      <c r="F10" s="38" t="s">
        <v>36</v>
      </c>
      <c r="G10" s="38">
        <v>500</v>
      </c>
      <c r="H10" s="40" t="str">
        <f t="shared" si="3"/>
        <v>High Price</v>
      </c>
      <c r="I10" s="38">
        <v>50</v>
      </c>
      <c r="J10" s="47" t="s">
        <v>9</v>
      </c>
      <c r="K10" s="3"/>
    </row>
    <row r="11" spans="1:13" ht="15.75" customHeight="1">
      <c r="A11" s="46" t="s">
        <v>37</v>
      </c>
      <c r="B11" s="43" t="str">
        <f t="shared" si="0"/>
        <v>14</v>
      </c>
      <c r="C11" s="43" t="str">
        <f t="shared" si="1"/>
        <v>UK</v>
      </c>
      <c r="D11" s="44" t="str">
        <f t="shared" si="2"/>
        <v>OCT</v>
      </c>
      <c r="E11" s="42" t="s">
        <v>38</v>
      </c>
      <c r="F11" s="41" t="s">
        <v>39</v>
      </c>
      <c r="G11" s="41">
        <v>130</v>
      </c>
      <c r="H11" s="58" t="str">
        <f t="shared" si="3"/>
        <v>Standard Price</v>
      </c>
      <c r="I11" s="41">
        <v>10</v>
      </c>
      <c r="J11" s="48" t="s">
        <v>24</v>
      </c>
      <c r="K11" s="3"/>
      <c r="L11" s="8" t="s">
        <v>102</v>
      </c>
      <c r="M11" s="9"/>
    </row>
    <row r="12" spans="1:13" ht="15.75" customHeight="1">
      <c r="A12" s="45" t="s">
        <v>40</v>
      </c>
      <c r="B12" s="38" t="str">
        <f t="shared" si="0"/>
        <v>17</v>
      </c>
      <c r="C12" s="38" t="str">
        <f t="shared" si="1"/>
        <v>IN</v>
      </c>
      <c r="D12" s="39" t="str">
        <f t="shared" si="2"/>
        <v>JUN</v>
      </c>
      <c r="E12" s="38" t="s">
        <v>7</v>
      </c>
      <c r="F12" s="38" t="s">
        <v>41</v>
      </c>
      <c r="G12" s="38">
        <v>950</v>
      </c>
      <c r="H12" s="40" t="str">
        <f t="shared" si="3"/>
        <v>High Price</v>
      </c>
      <c r="I12" s="38">
        <v>25</v>
      </c>
      <c r="J12" s="47" t="s">
        <v>9</v>
      </c>
      <c r="K12" s="3"/>
      <c r="L12" s="6" t="s">
        <v>96</v>
      </c>
      <c r="M12" s="7"/>
    </row>
    <row r="13" spans="1:13" ht="15.75" customHeight="1">
      <c r="A13" s="46" t="s">
        <v>42</v>
      </c>
      <c r="B13" s="43" t="str">
        <f t="shared" si="0"/>
        <v>25</v>
      </c>
      <c r="C13" s="43" t="str">
        <f t="shared" si="1"/>
        <v>AU</v>
      </c>
      <c r="D13" s="44" t="str">
        <f t="shared" si="2"/>
        <v>NOV</v>
      </c>
      <c r="E13" s="41" t="s">
        <v>11</v>
      </c>
      <c r="F13" s="41" t="s">
        <v>30</v>
      </c>
      <c r="G13" s="41">
        <v>90</v>
      </c>
      <c r="H13" s="58" t="str">
        <f t="shared" si="3"/>
        <v>Standard Price</v>
      </c>
      <c r="I13" s="41">
        <v>40</v>
      </c>
      <c r="J13" s="48" t="s">
        <v>13</v>
      </c>
      <c r="K13" s="3"/>
      <c r="L13" s="26">
        <f>L5/L9</f>
        <v>297.05882352941177</v>
      </c>
      <c r="M13" s="61" t="s">
        <v>103</v>
      </c>
    </row>
    <row r="14" spans="1:13" ht="15.75" customHeight="1">
      <c r="A14" s="45" t="s">
        <v>43</v>
      </c>
      <c r="B14" s="38" t="str">
        <f t="shared" si="0"/>
        <v>08</v>
      </c>
      <c r="C14" s="38" t="str">
        <f t="shared" si="1"/>
        <v>DE</v>
      </c>
      <c r="D14" s="39" t="str">
        <f t="shared" si="2"/>
        <v>DEC</v>
      </c>
      <c r="E14" s="38" t="s">
        <v>15</v>
      </c>
      <c r="F14" s="38" t="s">
        <v>44</v>
      </c>
      <c r="G14" s="38">
        <v>120</v>
      </c>
      <c r="H14" s="40" t="str">
        <f t="shared" si="3"/>
        <v>Standard Price</v>
      </c>
      <c r="I14" s="38">
        <v>35</v>
      </c>
      <c r="J14" s="47" t="s">
        <v>17</v>
      </c>
      <c r="K14" s="3"/>
      <c r="L14" s="25">
        <f>AVERAGE(G2:G35)</f>
        <v>297.05882352941177</v>
      </c>
      <c r="M14" s="60" t="s">
        <v>104</v>
      </c>
    </row>
    <row r="15" spans="1:13" ht="15.75" customHeight="1">
      <c r="A15" s="46" t="s">
        <v>45</v>
      </c>
      <c r="B15" s="43" t="str">
        <f t="shared" si="0"/>
        <v>18</v>
      </c>
      <c r="C15" s="43" t="str">
        <f t="shared" si="1"/>
        <v>CA</v>
      </c>
      <c r="D15" s="44" t="str">
        <f t="shared" si="2"/>
        <v>FEB</v>
      </c>
      <c r="E15" s="41" t="s">
        <v>46</v>
      </c>
      <c r="F15" s="41" t="s">
        <v>47</v>
      </c>
      <c r="G15" s="41">
        <v>150</v>
      </c>
      <c r="H15" s="58" t="str">
        <f t="shared" si="3"/>
        <v>Standard Price</v>
      </c>
      <c r="I15" s="41">
        <v>15</v>
      </c>
      <c r="J15" s="48" t="s">
        <v>9</v>
      </c>
      <c r="K15" s="3"/>
    </row>
    <row r="16" spans="1:13" ht="15.75" customHeight="1">
      <c r="A16" s="45" t="s">
        <v>48</v>
      </c>
      <c r="B16" s="38" t="str">
        <f t="shared" si="0"/>
        <v>16</v>
      </c>
      <c r="C16" s="38" t="str">
        <f t="shared" si="1"/>
        <v>ES</v>
      </c>
      <c r="D16" s="39" t="str">
        <f t="shared" si="2"/>
        <v>APR</v>
      </c>
      <c r="E16" s="38" t="s">
        <v>26</v>
      </c>
      <c r="F16" s="38" t="s">
        <v>49</v>
      </c>
      <c r="G16" s="38">
        <v>250</v>
      </c>
      <c r="H16" s="40" t="str">
        <f t="shared" si="3"/>
        <v>Standard Price</v>
      </c>
      <c r="I16" s="38">
        <v>20</v>
      </c>
      <c r="J16" s="47" t="s">
        <v>9</v>
      </c>
      <c r="K16" s="3"/>
      <c r="L16" s="15" t="s">
        <v>106</v>
      </c>
      <c r="M16" s="16"/>
    </row>
    <row r="17" spans="1:13" ht="15.75" customHeight="1">
      <c r="A17" s="46" t="s">
        <v>50</v>
      </c>
      <c r="B17" s="43" t="str">
        <f t="shared" si="0"/>
        <v>21</v>
      </c>
      <c r="C17" s="43" t="str">
        <f t="shared" si="1"/>
        <v>CA</v>
      </c>
      <c r="D17" s="44" t="str">
        <f t="shared" si="2"/>
        <v>AUG</v>
      </c>
      <c r="E17" s="41" t="s">
        <v>51</v>
      </c>
      <c r="F17" s="41" t="s">
        <v>52</v>
      </c>
      <c r="G17" s="41">
        <v>50</v>
      </c>
      <c r="H17" s="58" t="str">
        <f t="shared" si="3"/>
        <v>Standard Price</v>
      </c>
      <c r="I17" s="41">
        <v>35</v>
      </c>
      <c r="J17" s="48" t="s">
        <v>53</v>
      </c>
      <c r="K17" s="3"/>
      <c r="L17" s="17" t="s">
        <v>107</v>
      </c>
      <c r="M17" s="18"/>
    </row>
    <row r="18" spans="1:13" ht="15.75" customHeight="1">
      <c r="A18" s="45" t="s">
        <v>54</v>
      </c>
      <c r="B18" s="38" t="str">
        <f t="shared" si="0"/>
        <v>20</v>
      </c>
      <c r="C18" s="38" t="str">
        <f t="shared" si="1"/>
        <v>CN</v>
      </c>
      <c r="D18" s="39" t="str">
        <f t="shared" si="2"/>
        <v>AUG</v>
      </c>
      <c r="E18" s="38" t="s">
        <v>46</v>
      </c>
      <c r="F18" s="38" t="s">
        <v>55</v>
      </c>
      <c r="G18" s="38">
        <v>160</v>
      </c>
      <c r="H18" s="40" t="str">
        <f t="shared" si="3"/>
        <v>Standard Price</v>
      </c>
      <c r="I18" s="38">
        <v>15</v>
      </c>
      <c r="J18" s="47" t="s">
        <v>9</v>
      </c>
      <c r="K18" s="3"/>
      <c r="L18" s="6" t="s">
        <v>108</v>
      </c>
      <c r="M18" s="7"/>
    </row>
    <row r="19" spans="1:13" ht="15.75" customHeight="1">
      <c r="A19" s="46" t="s">
        <v>56</v>
      </c>
      <c r="B19" s="43" t="str">
        <f t="shared" si="0"/>
        <v>27</v>
      </c>
      <c r="C19" s="43" t="str">
        <f t="shared" si="1"/>
        <v>IT</v>
      </c>
      <c r="D19" s="44" t="str">
        <f t="shared" si="2"/>
        <v>JAN</v>
      </c>
      <c r="E19" s="41" t="s">
        <v>7</v>
      </c>
      <c r="F19" s="41" t="s">
        <v>57</v>
      </c>
      <c r="G19" s="41">
        <v>980</v>
      </c>
      <c r="H19" s="58" t="str">
        <f t="shared" si="3"/>
        <v>High Price</v>
      </c>
      <c r="I19" s="41">
        <v>10</v>
      </c>
      <c r="J19" s="48" t="s">
        <v>9</v>
      </c>
      <c r="K19" s="3"/>
      <c r="L19" s="27">
        <f>MIN(G2:G35)</f>
        <v>30</v>
      </c>
      <c r="M19" s="60" t="s">
        <v>109</v>
      </c>
    </row>
    <row r="20" spans="1:13" ht="15.75" customHeight="1">
      <c r="A20" s="45" t="s">
        <v>58</v>
      </c>
      <c r="B20" s="38" t="str">
        <f t="shared" si="0"/>
        <v>01</v>
      </c>
      <c r="C20" s="38" t="str">
        <f t="shared" si="1"/>
        <v>UK</v>
      </c>
      <c r="D20" s="39" t="str">
        <f t="shared" si="2"/>
        <v>MAR</v>
      </c>
      <c r="E20" s="38" t="s">
        <v>59</v>
      </c>
      <c r="F20" s="38" t="s">
        <v>60</v>
      </c>
      <c r="G20" s="38">
        <v>150</v>
      </c>
      <c r="H20" s="40" t="str">
        <f t="shared" si="3"/>
        <v>Standard Price</v>
      </c>
      <c r="I20" s="38">
        <v>15</v>
      </c>
      <c r="J20" s="47" t="s">
        <v>13</v>
      </c>
      <c r="K20" s="3"/>
    </row>
    <row r="21" spans="1:13" ht="15.75" customHeight="1">
      <c r="A21" s="46" t="s">
        <v>61</v>
      </c>
      <c r="B21" s="43" t="str">
        <f t="shared" si="0"/>
        <v>14</v>
      </c>
      <c r="C21" s="43" t="str">
        <f t="shared" si="1"/>
        <v>US</v>
      </c>
      <c r="D21" s="44" t="str">
        <f t="shared" si="2"/>
        <v>AUG</v>
      </c>
      <c r="E21" s="41" t="s">
        <v>62</v>
      </c>
      <c r="F21" s="41" t="s">
        <v>63</v>
      </c>
      <c r="G21" s="41">
        <v>200</v>
      </c>
      <c r="H21" s="58" t="str">
        <f t="shared" si="3"/>
        <v>Standard Price</v>
      </c>
      <c r="I21" s="41">
        <v>10</v>
      </c>
      <c r="J21" s="48" t="s">
        <v>24</v>
      </c>
      <c r="K21" s="3"/>
      <c r="L21" s="13" t="s">
        <v>110</v>
      </c>
      <c r="M21" s="14"/>
    </row>
    <row r="22" spans="1:13" ht="15.75" customHeight="1">
      <c r="A22" s="45" t="s">
        <v>64</v>
      </c>
      <c r="B22" s="38" t="str">
        <f t="shared" si="0"/>
        <v>14</v>
      </c>
      <c r="C22" s="38" t="str">
        <f t="shared" si="1"/>
        <v>RU</v>
      </c>
      <c r="D22" s="39" t="str">
        <f t="shared" si="2"/>
        <v>MAY</v>
      </c>
      <c r="E22" s="38" t="s">
        <v>65</v>
      </c>
      <c r="F22" s="38" t="s">
        <v>66</v>
      </c>
      <c r="G22" s="38">
        <v>700</v>
      </c>
      <c r="H22" s="40" t="str">
        <f t="shared" si="3"/>
        <v>High Price</v>
      </c>
      <c r="I22" s="38">
        <v>50</v>
      </c>
      <c r="J22" s="47" t="s">
        <v>9</v>
      </c>
      <c r="K22" s="3"/>
      <c r="L22" s="6" t="s">
        <v>111</v>
      </c>
      <c r="M22" s="7"/>
    </row>
    <row r="23" spans="1:13" ht="15.75" customHeight="1">
      <c r="A23" s="46" t="s">
        <v>67</v>
      </c>
      <c r="B23" s="43" t="str">
        <f t="shared" si="0"/>
        <v>09</v>
      </c>
      <c r="C23" s="43" t="str">
        <f t="shared" si="1"/>
        <v>CA</v>
      </c>
      <c r="D23" s="44" t="str">
        <f t="shared" si="2"/>
        <v>JAN</v>
      </c>
      <c r="E23" s="41" t="s">
        <v>68</v>
      </c>
      <c r="F23" s="41" t="s">
        <v>69</v>
      </c>
      <c r="G23" s="41">
        <v>80</v>
      </c>
      <c r="H23" s="58" t="str">
        <f t="shared" si="3"/>
        <v>Standard Price</v>
      </c>
      <c r="I23" s="41">
        <v>20</v>
      </c>
      <c r="J23" s="48" t="s">
        <v>17</v>
      </c>
      <c r="K23" s="3"/>
      <c r="L23" s="25">
        <f>MAX(G2:G35)</f>
        <v>1000</v>
      </c>
      <c r="M23" s="60" t="s">
        <v>112</v>
      </c>
    </row>
    <row r="24" spans="1:13" ht="15.75" customHeight="1">
      <c r="A24" s="45" t="s">
        <v>70</v>
      </c>
      <c r="B24" s="38" t="str">
        <f t="shared" si="0"/>
        <v>19</v>
      </c>
      <c r="C24" s="38" t="str">
        <f t="shared" si="1"/>
        <v>BR</v>
      </c>
      <c r="D24" s="39" t="str">
        <f t="shared" si="2"/>
        <v>JUL</v>
      </c>
      <c r="E24" s="38" t="s">
        <v>71</v>
      </c>
      <c r="F24" s="38" t="s">
        <v>72</v>
      </c>
      <c r="G24" s="38">
        <v>150</v>
      </c>
      <c r="H24" s="40" t="str">
        <f t="shared" si="3"/>
        <v>Standard Price</v>
      </c>
      <c r="I24" s="38">
        <v>30</v>
      </c>
      <c r="J24" s="47" t="s">
        <v>9</v>
      </c>
      <c r="K24" s="3"/>
    </row>
    <row r="25" spans="1:13" ht="15.75" customHeight="1">
      <c r="A25" s="46" t="s">
        <v>50</v>
      </c>
      <c r="B25" s="43" t="str">
        <f t="shared" si="0"/>
        <v>21</v>
      </c>
      <c r="C25" s="43" t="str">
        <f t="shared" si="1"/>
        <v>CA</v>
      </c>
      <c r="D25" s="44" t="str">
        <f t="shared" si="2"/>
        <v>AUG</v>
      </c>
      <c r="E25" s="41" t="s">
        <v>51</v>
      </c>
      <c r="F25" s="41" t="s">
        <v>52</v>
      </c>
      <c r="G25" s="41">
        <v>50</v>
      </c>
      <c r="H25" s="58" t="str">
        <f t="shared" si="3"/>
        <v>Standard Price</v>
      </c>
      <c r="I25" s="41">
        <v>35</v>
      </c>
      <c r="J25" s="48" t="s">
        <v>53</v>
      </c>
      <c r="K25" s="4"/>
      <c r="L25" s="15" t="s">
        <v>113</v>
      </c>
      <c r="M25" s="16"/>
    </row>
    <row r="26" spans="1:13" ht="15.75" customHeight="1">
      <c r="A26" s="45" t="s">
        <v>73</v>
      </c>
      <c r="B26" s="38" t="str">
        <f t="shared" si="0"/>
        <v>29</v>
      </c>
      <c r="C26" s="38" t="str">
        <f t="shared" si="1"/>
        <v>CA</v>
      </c>
      <c r="D26" s="39" t="str">
        <f t="shared" si="2"/>
        <v>SEP</v>
      </c>
      <c r="E26" s="38" t="s">
        <v>19</v>
      </c>
      <c r="F26" s="38" t="s">
        <v>74</v>
      </c>
      <c r="G26" s="38">
        <v>800</v>
      </c>
      <c r="H26" s="40" t="str">
        <f t="shared" si="3"/>
        <v>High Price</v>
      </c>
      <c r="I26" s="38">
        <v>45</v>
      </c>
      <c r="J26" s="47" t="s">
        <v>9</v>
      </c>
      <c r="K26" s="3"/>
      <c r="L26" s="17" t="s">
        <v>114</v>
      </c>
      <c r="M26" s="18"/>
    </row>
    <row r="27" spans="1:13" ht="15.75" customHeight="1">
      <c r="A27" s="46" t="s">
        <v>75</v>
      </c>
      <c r="B27" s="43" t="str">
        <f t="shared" si="0"/>
        <v>03</v>
      </c>
      <c r="C27" s="43" t="str">
        <f t="shared" si="1"/>
        <v>CA</v>
      </c>
      <c r="D27" s="44" t="str">
        <f t="shared" si="2"/>
        <v>JUN</v>
      </c>
      <c r="E27" s="41" t="s">
        <v>59</v>
      </c>
      <c r="F27" s="41" t="s">
        <v>76</v>
      </c>
      <c r="G27" s="41">
        <v>130</v>
      </c>
      <c r="H27" s="58" t="str">
        <f t="shared" si="3"/>
        <v>Standard Price</v>
      </c>
      <c r="I27" s="41">
        <v>25</v>
      </c>
      <c r="J27" s="48" t="s">
        <v>13</v>
      </c>
      <c r="K27" s="3"/>
      <c r="L27" s="11" t="s">
        <v>116</v>
      </c>
      <c r="M27" s="12"/>
    </row>
    <row r="28" spans="1:13" ht="15.75" customHeight="1">
      <c r="A28" s="45" t="s">
        <v>77</v>
      </c>
      <c r="B28" s="38" t="str">
        <f t="shared" si="0"/>
        <v>11</v>
      </c>
      <c r="C28" s="38" t="str">
        <f t="shared" si="1"/>
        <v>CA</v>
      </c>
      <c r="D28" s="39" t="str">
        <f t="shared" si="2"/>
        <v>JUL</v>
      </c>
      <c r="E28" s="38" t="s">
        <v>32</v>
      </c>
      <c r="F28" s="38" t="s">
        <v>78</v>
      </c>
      <c r="G28" s="38">
        <v>400</v>
      </c>
      <c r="H28" s="40" t="str">
        <f t="shared" si="3"/>
        <v>Standard Price</v>
      </c>
      <c r="I28" s="38">
        <v>40</v>
      </c>
      <c r="J28" s="47" t="s">
        <v>17</v>
      </c>
      <c r="K28" s="3"/>
    </row>
    <row r="29" spans="1:13" ht="15.75" customHeight="1">
      <c r="A29" s="46" t="s">
        <v>48</v>
      </c>
      <c r="B29" s="43" t="str">
        <f t="shared" si="0"/>
        <v>16</v>
      </c>
      <c r="C29" s="43" t="str">
        <f t="shared" si="1"/>
        <v>ES</v>
      </c>
      <c r="D29" s="44" t="str">
        <f t="shared" si="2"/>
        <v>APR</v>
      </c>
      <c r="E29" s="41" t="s">
        <v>26</v>
      </c>
      <c r="F29" s="41" t="s">
        <v>49</v>
      </c>
      <c r="G29" s="41">
        <v>230</v>
      </c>
      <c r="H29" s="58" t="str">
        <f t="shared" si="3"/>
        <v>Standard Price</v>
      </c>
      <c r="I29" s="41">
        <v>20</v>
      </c>
      <c r="J29" s="48" t="s">
        <v>9</v>
      </c>
      <c r="K29" s="4"/>
      <c r="L29" s="13" t="s">
        <v>117</v>
      </c>
      <c r="M29" s="14"/>
    </row>
    <row r="30" spans="1:13" ht="15.75" customHeight="1">
      <c r="A30" s="45" t="s">
        <v>79</v>
      </c>
      <c r="B30" s="38" t="str">
        <f t="shared" si="0"/>
        <v>07</v>
      </c>
      <c r="C30" s="38" t="str">
        <f t="shared" si="1"/>
        <v>CA</v>
      </c>
      <c r="D30" s="39" t="str">
        <f t="shared" si="2"/>
        <v>MAR</v>
      </c>
      <c r="E30" s="38" t="s">
        <v>80</v>
      </c>
      <c r="F30" s="38" t="s">
        <v>81</v>
      </c>
      <c r="G30" s="38">
        <v>60</v>
      </c>
      <c r="H30" s="40" t="str">
        <f t="shared" si="3"/>
        <v>Standard Price</v>
      </c>
      <c r="I30" s="38">
        <v>30</v>
      </c>
      <c r="J30" s="47" t="s">
        <v>13</v>
      </c>
      <c r="K30" s="3"/>
      <c r="L30" s="23" t="s">
        <v>118</v>
      </c>
      <c r="M30" s="24"/>
    </row>
    <row r="31" spans="1:13" ht="15.75" customHeight="1">
      <c r="A31" s="46" t="s">
        <v>82</v>
      </c>
      <c r="B31" s="43" t="str">
        <f t="shared" si="0"/>
        <v>13</v>
      </c>
      <c r="C31" s="43" t="str">
        <f t="shared" si="1"/>
        <v>CA</v>
      </c>
      <c r="D31" s="44" t="str">
        <f t="shared" si="2"/>
        <v>APR</v>
      </c>
      <c r="E31" s="41" t="s">
        <v>83</v>
      </c>
      <c r="F31" s="41" t="s">
        <v>84</v>
      </c>
      <c r="G31" s="41">
        <v>40</v>
      </c>
      <c r="H31" s="58" t="str">
        <f t="shared" si="3"/>
        <v>Standard Price</v>
      </c>
      <c r="I31" s="41">
        <v>10</v>
      </c>
      <c r="J31" s="48" t="s">
        <v>17</v>
      </c>
      <c r="K31" s="3"/>
      <c r="L31" s="10" t="str">
        <f>IF(G2&gt;=500,"High Price",AND(G2&lt;500,"Standard Price"))</f>
        <v>High Price</v>
      </c>
      <c r="M31" s="60" t="s">
        <v>120</v>
      </c>
    </row>
    <row r="32" spans="1:13" ht="15.75" customHeight="1">
      <c r="A32" s="45" t="s">
        <v>85</v>
      </c>
      <c r="B32" s="38" t="str">
        <f t="shared" si="0"/>
        <v>24</v>
      </c>
      <c r="C32" s="38" t="str">
        <f t="shared" si="1"/>
        <v>CA</v>
      </c>
      <c r="D32" s="39" t="str">
        <f t="shared" si="2"/>
        <v>MAY</v>
      </c>
      <c r="E32" s="38" t="s">
        <v>71</v>
      </c>
      <c r="F32" s="38" t="s">
        <v>86</v>
      </c>
      <c r="G32" s="38">
        <v>130</v>
      </c>
      <c r="H32" s="40" t="str">
        <f t="shared" si="3"/>
        <v>Standard Price</v>
      </c>
      <c r="I32" s="38">
        <v>5</v>
      </c>
      <c r="J32" s="47" t="s">
        <v>9</v>
      </c>
      <c r="K32" s="3"/>
    </row>
    <row r="33" spans="1:13" ht="15.75" customHeight="1">
      <c r="A33" s="46" t="s">
        <v>87</v>
      </c>
      <c r="B33" s="43" t="str">
        <f t="shared" si="0"/>
        <v>02</v>
      </c>
      <c r="C33" s="43" t="str">
        <f t="shared" si="1"/>
        <v>CA</v>
      </c>
      <c r="D33" s="44" t="str">
        <f t="shared" si="2"/>
        <v>DEC</v>
      </c>
      <c r="E33" s="41" t="s">
        <v>88</v>
      </c>
      <c r="F33" s="41" t="s">
        <v>89</v>
      </c>
      <c r="G33" s="41">
        <v>50</v>
      </c>
      <c r="H33" s="58" t="str">
        <f t="shared" si="3"/>
        <v>Standard Price</v>
      </c>
      <c r="I33" s="41">
        <v>50</v>
      </c>
      <c r="J33" s="48" t="s">
        <v>13</v>
      </c>
      <c r="K33" s="3"/>
      <c r="L33" s="21" t="s">
        <v>119</v>
      </c>
      <c r="M33" s="22"/>
    </row>
    <row r="34" spans="1:13" ht="15.75" customHeight="1">
      <c r="A34" s="45" t="s">
        <v>40</v>
      </c>
      <c r="B34" s="38" t="str">
        <f t="shared" si="0"/>
        <v>17</v>
      </c>
      <c r="C34" s="38" t="str">
        <f t="shared" si="1"/>
        <v>IN</v>
      </c>
      <c r="D34" s="39" t="str">
        <f t="shared" si="2"/>
        <v>JUN</v>
      </c>
      <c r="E34" s="38" t="s">
        <v>7</v>
      </c>
      <c r="F34" s="38" t="s">
        <v>41</v>
      </c>
      <c r="G34" s="38">
        <v>950</v>
      </c>
      <c r="H34" s="40" t="str">
        <f t="shared" si="3"/>
        <v>High Price</v>
      </c>
      <c r="I34" s="38">
        <v>25</v>
      </c>
      <c r="J34" s="47" t="s">
        <v>9</v>
      </c>
      <c r="K34" s="3"/>
      <c r="L34" s="10" t="str">
        <f>IF(G2&gt;500,"Standard Price")</f>
        <v>Standard Price</v>
      </c>
      <c r="M34" s="60" t="s">
        <v>121</v>
      </c>
    </row>
    <row r="35" spans="1:13" ht="15.75" customHeight="1">
      <c r="A35" s="53" t="s">
        <v>90</v>
      </c>
      <c r="B35" s="56" t="str">
        <f t="shared" si="0"/>
        <v>09</v>
      </c>
      <c r="C35" s="56" t="str">
        <f t="shared" si="1"/>
        <v>FR</v>
      </c>
      <c r="D35" s="57" t="str">
        <f t="shared" si="2"/>
        <v>JUL</v>
      </c>
      <c r="E35" s="54" t="s">
        <v>91</v>
      </c>
      <c r="F35" s="54" t="s">
        <v>92</v>
      </c>
      <c r="G35" s="54">
        <v>100</v>
      </c>
      <c r="H35" s="59" t="str">
        <f t="shared" si="3"/>
        <v>Standard Price</v>
      </c>
      <c r="I35" s="54">
        <v>20</v>
      </c>
      <c r="J35" s="55" t="s">
        <v>53</v>
      </c>
      <c r="K35" s="3"/>
    </row>
    <row r="36" spans="1:13" ht="15.75" customHeight="1">
      <c r="L36" s="15" t="s">
        <v>122</v>
      </c>
      <c r="M36" s="16"/>
    </row>
    <row r="37" spans="1:13" ht="16.5" customHeight="1">
      <c r="L37" s="23" t="s">
        <v>123</v>
      </c>
      <c r="M37" s="24"/>
    </row>
    <row r="38" spans="1:13" ht="33" customHeight="1">
      <c r="L38" s="25">
        <f>SUMIF(J2:J35,"Electronics",G2:G35)</f>
        <v>8050</v>
      </c>
      <c r="M38" s="63" t="s">
        <v>124</v>
      </c>
    </row>
    <row r="39" spans="1:13" ht="15.75" customHeight="1"/>
    <row r="40" spans="1:13" ht="15.75" customHeight="1">
      <c r="L40" s="28" t="s">
        <v>125</v>
      </c>
      <c r="M40" s="29"/>
    </row>
    <row r="41" spans="1:13" ht="15.75" customHeight="1">
      <c r="L41" s="30">
        <f>COUNTIF(G2:G35,"&lt;100")</f>
        <v>11</v>
      </c>
      <c r="M41" s="60" t="s">
        <v>126</v>
      </c>
    </row>
    <row r="42" spans="1:13" ht="15.75" customHeight="1"/>
    <row r="43" spans="1:13" ht="15.75" customHeight="1">
      <c r="L43" s="15" t="s">
        <v>127</v>
      </c>
      <c r="M43" s="16"/>
    </row>
    <row r="44" spans="1:13" ht="15.75" customHeight="1">
      <c r="L44" s="23" t="s">
        <v>128</v>
      </c>
      <c r="M44" s="24"/>
    </row>
    <row r="45" spans="1:13" ht="15.75" customHeight="1">
      <c r="L45" s="31" t="s">
        <v>129</v>
      </c>
      <c r="M45" s="7"/>
    </row>
    <row r="46" spans="1:13" ht="15.75" customHeight="1">
      <c r="L46" s="32" t="str">
        <f>LEFT(A2,2)</f>
        <v>28</v>
      </c>
      <c r="M46" s="64" t="s">
        <v>135</v>
      </c>
    </row>
    <row r="47" spans="1:13" ht="15.75" customHeight="1">
      <c r="L47" s="6" t="s">
        <v>130</v>
      </c>
      <c r="M47" s="7"/>
    </row>
    <row r="48" spans="1:13" ht="15.75" customHeight="1">
      <c r="L48" s="33" t="str">
        <f>RIGHT(A2,2)</f>
        <v>US</v>
      </c>
      <c r="M48" s="64" t="s">
        <v>136</v>
      </c>
    </row>
    <row r="49" spans="12:13" ht="15.75" customHeight="1">
      <c r="L49" s="6" t="s">
        <v>131</v>
      </c>
      <c r="M49" s="7"/>
    </row>
    <row r="50" spans="12:13" ht="15.75" customHeight="1">
      <c r="L50" s="20" t="str">
        <f>MID(A2,4,3)</f>
        <v>JAN</v>
      </c>
      <c r="M50" s="64" t="s">
        <v>137</v>
      </c>
    </row>
    <row r="51" spans="12:13" ht="15.75" customHeight="1">
      <c r="L51" s="6" t="s">
        <v>132</v>
      </c>
      <c r="M51" s="7"/>
    </row>
    <row r="52" spans="12:13" ht="15.75" customHeight="1">
      <c r="L52" s="33" t="str">
        <f>UPPER(A2)</f>
        <v>28-JAN-US</v>
      </c>
      <c r="M52" s="64" t="s">
        <v>138</v>
      </c>
    </row>
    <row r="53" spans="12:13" ht="15.75" customHeight="1">
      <c r="L53" s="6" t="s">
        <v>133</v>
      </c>
      <c r="M53" s="7"/>
    </row>
    <row r="54" spans="12:13" ht="15.75" customHeight="1">
      <c r="L54" s="20" t="str">
        <f>LOWER(A2)</f>
        <v>28-jan-us</v>
      </c>
      <c r="M54" s="64" t="s">
        <v>139</v>
      </c>
    </row>
    <row r="55" spans="12:13" ht="15.75" customHeight="1">
      <c r="L55" s="6" t="s">
        <v>134</v>
      </c>
      <c r="M55" s="7"/>
    </row>
    <row r="56" spans="12:13" ht="15.75" customHeight="1">
      <c r="L56" s="10" t="str">
        <f>PROPER(A2)</f>
        <v>28-Jan-Us</v>
      </c>
      <c r="M56" s="62" t="s">
        <v>140</v>
      </c>
    </row>
    <row r="57" spans="12:13" ht="15.75" customHeight="1"/>
    <row r="58" spans="12:13" ht="15.75" customHeight="1">
      <c r="L58" s="34" t="s">
        <v>143</v>
      </c>
      <c r="M58" s="35"/>
    </row>
    <row r="59" spans="12:13" ht="15.75" customHeight="1">
      <c r="L59" s="20" t="s">
        <v>144</v>
      </c>
      <c r="M59" s="36" t="s">
        <v>145</v>
      </c>
    </row>
    <row r="60" spans="12:13" ht="15.75" customHeight="1">
      <c r="L60" s="20"/>
      <c r="M60" s="7"/>
    </row>
    <row r="61" spans="12:13" ht="15.75" customHeight="1">
      <c r="L61" s="33" t="s">
        <v>147</v>
      </c>
      <c r="M61" s="7"/>
    </row>
    <row r="62" spans="12:13" ht="15.75" customHeight="1">
      <c r="L62" s="20" t="s">
        <v>146</v>
      </c>
      <c r="M62" s="36" t="s">
        <v>148</v>
      </c>
    </row>
    <row r="63" spans="12:13" ht="15.75" customHeight="1">
      <c r="L63" s="20"/>
      <c r="M63" s="7"/>
    </row>
    <row r="64" spans="12:13" ht="15.75" customHeight="1">
      <c r="L64" s="20" t="s">
        <v>149</v>
      </c>
      <c r="M64" s="7"/>
    </row>
    <row r="65" spans="12:13" ht="15.75" customHeight="1">
      <c r="L65" s="10" t="s">
        <v>150</v>
      </c>
      <c r="M65" s="37" t="s">
        <v>152</v>
      </c>
    </row>
    <row r="66" spans="12:13" ht="15.75" customHeight="1"/>
    <row r="67" spans="12:13" ht="15.75" customHeight="1"/>
    <row r="68" spans="12:13" ht="15.75" customHeight="1"/>
    <row r="69" spans="12:13" ht="15.75" customHeight="1"/>
    <row r="70" spans="12:13" ht="15.75" customHeight="1"/>
    <row r="71" spans="12:13" ht="15.75" customHeight="1"/>
    <row r="72" spans="12:13" ht="15.75" customHeight="1"/>
    <row r="73" spans="12:13" ht="15.75" customHeight="1"/>
    <row r="74" spans="12:13" ht="15.75" customHeight="1"/>
    <row r="75" spans="12:13" ht="15.75" customHeight="1"/>
    <row r="76" spans="12:13" ht="15.75" customHeight="1"/>
    <row r="77" spans="12:13" ht="15.75" customHeight="1"/>
    <row r="78" spans="12:13" ht="15.75" customHeight="1"/>
    <row r="79" spans="12:13" ht="15.75" customHeight="1"/>
    <row r="80" spans="12:1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L36:M36"/>
    <mergeCell ref="L37:M37"/>
    <mergeCell ref="L40:M40"/>
    <mergeCell ref="L43:M43"/>
    <mergeCell ref="L44:M44"/>
    <mergeCell ref="L2:M2"/>
    <mergeCell ref="L17:M17"/>
    <mergeCell ref="L16:M16"/>
    <mergeCell ref="L33:M33"/>
    <mergeCell ref="L30:M30"/>
    <mergeCell ref="L21:M21"/>
    <mergeCell ref="L25:M25"/>
    <mergeCell ref="L26:M26"/>
    <mergeCell ref="L29:M29"/>
    <mergeCell ref="L3:M3"/>
  </mergeCells>
  <pageMargins left="0.7" right="0.7" top="0.75" bottom="0.75" header="0.3" footer="0.3"/>
  <pageSetup paperSize="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2026-09-22T17:11:48Z</cp:lastPrinted>
  <dcterms:created xsi:type="dcterms:W3CDTF">2026-09-22T17:32:01Z</dcterms:created>
  <dcterms:modified xsi:type="dcterms:W3CDTF">2026-09-22T17:34:24Z</dcterms:modified>
</cp:coreProperties>
</file>